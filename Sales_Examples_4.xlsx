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rar\Desktop\GitHub Repositories\PRACTICE EXCEL DATA\"/>
    </mc:Choice>
  </mc:AlternateContent>
  <xr:revisionPtr revIDLastSave="0" documentId="8_{905C269D-7E2A-46DC-9EE3-DE099E1602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98QltLVWMdUQmtytjSCegQ/ozXWPMkneGBNiNsN0/Q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<sst xmlns="http://schemas.openxmlformats.org/spreadsheetml/2006/main" count="78" uniqueCount="21">
  <si>
    <t>Order ID</t>
  </si>
  <si>
    <t>Product</t>
  </si>
  <si>
    <t>Quantity Ordered</t>
  </si>
  <si>
    <t>Sales Price</t>
  </si>
  <si>
    <t>Order Date</t>
  </si>
  <si>
    <t>Shipping Date</t>
  </si>
  <si>
    <t>Status</t>
  </si>
  <si>
    <t>Stock on Hand</t>
  </si>
  <si>
    <t>Laptop</t>
  </si>
  <si>
    <t>Delivered</t>
  </si>
  <si>
    <t>Smartphone</t>
  </si>
  <si>
    <t>Shipped</t>
  </si>
  <si>
    <t>Tablet</t>
  </si>
  <si>
    <t>Headphones</t>
  </si>
  <si>
    <t>Pending</t>
  </si>
  <si>
    <t>Camera</t>
  </si>
  <si>
    <t>Total</t>
  </si>
  <si>
    <t>Remaining Stock</t>
  </si>
  <si>
    <t>Row Labels</t>
  </si>
  <si>
    <t>Grand Total</t>
  </si>
  <si>
    <t>Sum of Quantity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</si>
</sst>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1">
    <dxf>
      <fill>
        <patternFill>
          <bgColor theme="9" tint="0.3999450666829432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 reaver" refreshedDate="46259.763064699073" createdVersion="8" refreshedVersion="8" minRefreshableVersion="3" recordCount="30" xr:uid="{6E5F306A-6A72-4CF2-B1F6-4E87C59C6A97}">
  <cacheSource type="worksheet">
    <worksheetSource ref="A1:J31" sheet="Sheet1"/>
  </cacheSource>
  <cacheFields count="10">
    <cacheField name="Order ID" numFmtId="0">
      <sharedItems containsSemiMixedTypes="0" containsString="0" containsNumber="1" containsInteger="1" minValue="1001" maxValue="1030"/>
    </cacheField>
    <cacheField name="Product" numFmtId="0">
      <sharedItems count="5">
        <s v="Laptop"/>
        <s v="Smartphone"/>
        <s v="Tablet"/>
        <s v="Headphones"/>
        <s v="Camera"/>
      </sharedItems>
    </cacheField>
    <cacheField name="Quantity Ordere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Sales Price" numFmtId="164">
      <sharedItems containsSemiMixedTypes="0" containsString="0" containsNumber="1" containsInteger="1" minValue="290" maxValue="850"/>
    </cacheField>
    <cacheField name="Order Date" numFmtId="14">
      <sharedItems containsSemiMixedTypes="0" containsNonDate="0" containsDate="1" containsString="0" minDate="2023-06-15T00:00:00" maxDate="2023-07-15T00:00:00"/>
    </cacheField>
    <cacheField name="Shipping Date" numFmtId="14">
      <sharedItems containsSemiMixedTypes="0" containsNonDate="0" containsDate="1" containsString="0" minDate="2023-06-18T00:00:00" maxDate="2023-07-18T00:00:00"/>
    </cacheField>
    <cacheField name="Status" numFmtId="0">
      <sharedItems/>
    </cacheField>
    <cacheField name="Stock on Hand" numFmtId="0">
      <sharedItems containsSemiMixedTypes="0" containsString="0" containsNumber="1" containsInteger="1" minValue="7" maxValue="50"/>
    </cacheField>
    <cacheField name="Total" numFmtId="164">
      <sharedItems containsSemiMixedTypes="0" containsString="0" containsNumber="1" containsInteger="1" minValue="290" maxValue="3400"/>
    </cacheField>
    <cacheField name="Remaining Stock" numFmtId="0">
      <sharedItems containsSemiMixedTypes="0" containsString="0" containsNumber="1" containsInteger="1" minValue="5" maxValue="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x v="0"/>
    <n v="850"/>
    <d v="2023-06-15T00:00:00"/>
    <d v="2023-06-18T00:00:00"/>
    <s v="Delivered"/>
    <n v="12"/>
    <n v="850"/>
    <n v="11"/>
  </r>
  <r>
    <n v="1002"/>
    <x v="1"/>
    <x v="1"/>
    <n v="750"/>
    <d v="2023-06-16T00:00:00"/>
    <d v="2023-06-20T00:00:00"/>
    <s v="Shipped"/>
    <n v="30"/>
    <n v="1500"/>
    <n v="28"/>
  </r>
  <r>
    <n v="1003"/>
    <x v="2"/>
    <x v="2"/>
    <n v="500"/>
    <d v="2023-06-17T00:00:00"/>
    <d v="2023-06-19T00:00:00"/>
    <s v="Delivered"/>
    <n v="25"/>
    <n v="1500"/>
    <n v="22"/>
  </r>
  <r>
    <n v="1004"/>
    <x v="3"/>
    <x v="3"/>
    <n v="290"/>
    <d v="2023-06-18T00:00:00"/>
    <d v="2023-06-22T00:00:00"/>
    <s v="Pending"/>
    <n v="50"/>
    <n v="1160"/>
    <n v="46"/>
  </r>
  <r>
    <n v="1005"/>
    <x v="4"/>
    <x v="0"/>
    <n v="375"/>
    <d v="2023-06-19T00:00:00"/>
    <d v="2023-06-21T00:00:00"/>
    <s v="Delivered"/>
    <n v="18"/>
    <n v="375"/>
    <n v="17"/>
  </r>
  <r>
    <n v="1006"/>
    <x v="0"/>
    <x v="0"/>
    <n v="850"/>
    <d v="2023-06-20T00:00:00"/>
    <d v="2023-06-23T00:00:00"/>
    <s v="Shipped"/>
    <n v="11"/>
    <n v="850"/>
    <n v="10"/>
  </r>
  <r>
    <n v="1007"/>
    <x v="1"/>
    <x v="2"/>
    <n v="750"/>
    <d v="2023-06-21T00:00:00"/>
    <d v="2023-06-24T00:00:00"/>
    <s v="Pending"/>
    <n v="28"/>
    <n v="2250"/>
    <n v="25"/>
  </r>
  <r>
    <n v="1008"/>
    <x v="2"/>
    <x v="1"/>
    <n v="500"/>
    <d v="2023-06-22T00:00:00"/>
    <d v="2023-06-25T00:00:00"/>
    <s v="Delivered"/>
    <n v="24"/>
    <n v="1000"/>
    <n v="22"/>
  </r>
  <r>
    <n v="1009"/>
    <x v="3"/>
    <x v="0"/>
    <n v="290"/>
    <d v="2023-06-23T00:00:00"/>
    <d v="2023-06-26T00:00:00"/>
    <s v="Shipped"/>
    <n v="48"/>
    <n v="290"/>
    <n v="47"/>
  </r>
  <r>
    <n v="1010"/>
    <x v="4"/>
    <x v="3"/>
    <n v="375"/>
    <d v="2023-06-24T00:00:00"/>
    <d v="2023-06-27T00:00:00"/>
    <s v="Pending"/>
    <n v="16"/>
    <n v="1500"/>
    <n v="12"/>
  </r>
  <r>
    <n v="1011"/>
    <x v="0"/>
    <x v="1"/>
    <n v="850"/>
    <d v="2023-06-25T00:00:00"/>
    <d v="2023-06-28T00:00:00"/>
    <s v="Delivered"/>
    <n v="10"/>
    <n v="1700"/>
    <n v="8"/>
  </r>
  <r>
    <n v="1012"/>
    <x v="1"/>
    <x v="0"/>
    <n v="750"/>
    <d v="2023-06-26T00:00:00"/>
    <d v="2023-06-29T00:00:00"/>
    <s v="Shipped"/>
    <n v="29"/>
    <n v="750"/>
    <n v="28"/>
  </r>
  <r>
    <n v="1013"/>
    <x v="2"/>
    <x v="2"/>
    <n v="500"/>
    <d v="2023-06-27T00:00:00"/>
    <d v="2023-06-30T00:00:00"/>
    <s v="Pending"/>
    <n v="23"/>
    <n v="1500"/>
    <n v="20"/>
  </r>
  <r>
    <n v="1014"/>
    <x v="3"/>
    <x v="1"/>
    <n v="290"/>
    <d v="2023-06-28T00:00:00"/>
    <d v="2023-07-01T00:00:00"/>
    <s v="Delivered"/>
    <n v="46"/>
    <n v="580"/>
    <n v="44"/>
  </r>
  <r>
    <n v="1015"/>
    <x v="4"/>
    <x v="2"/>
    <n v="375"/>
    <d v="2023-06-29T00:00:00"/>
    <d v="2023-07-02T00:00:00"/>
    <s v="Shipped"/>
    <n v="14"/>
    <n v="1125"/>
    <n v="11"/>
  </r>
  <r>
    <n v="1016"/>
    <x v="0"/>
    <x v="3"/>
    <n v="850"/>
    <d v="2023-06-30T00:00:00"/>
    <d v="2023-07-03T00:00:00"/>
    <s v="Pending"/>
    <n v="9"/>
    <n v="3400"/>
    <n v="5"/>
  </r>
  <r>
    <n v="1017"/>
    <x v="1"/>
    <x v="0"/>
    <n v="750"/>
    <d v="2023-07-01T00:00:00"/>
    <d v="2023-07-04T00:00:00"/>
    <s v="Delivered"/>
    <n v="27"/>
    <n v="750"/>
    <n v="26"/>
  </r>
  <r>
    <n v="1018"/>
    <x v="2"/>
    <x v="2"/>
    <n v="500"/>
    <d v="2023-07-02T00:00:00"/>
    <d v="2023-07-05T00:00:00"/>
    <s v="Shipped"/>
    <n v="22"/>
    <n v="1500"/>
    <n v="19"/>
  </r>
  <r>
    <n v="1019"/>
    <x v="3"/>
    <x v="3"/>
    <n v="290"/>
    <d v="2023-07-03T00:00:00"/>
    <d v="2023-07-06T00:00:00"/>
    <s v="Pending"/>
    <n v="44"/>
    <n v="1160"/>
    <n v="40"/>
  </r>
  <r>
    <n v="1020"/>
    <x v="4"/>
    <x v="1"/>
    <n v="375"/>
    <d v="2023-07-04T00:00:00"/>
    <d v="2023-07-07T00:00:00"/>
    <s v="Delivered"/>
    <n v="12"/>
    <n v="750"/>
    <n v="10"/>
  </r>
  <r>
    <n v="1021"/>
    <x v="0"/>
    <x v="0"/>
    <n v="850"/>
    <d v="2023-07-05T00:00:00"/>
    <d v="2023-07-08T00:00:00"/>
    <s v="Shipped"/>
    <n v="8"/>
    <n v="850"/>
    <n v="7"/>
  </r>
  <r>
    <n v="1022"/>
    <x v="1"/>
    <x v="1"/>
    <n v="750"/>
    <d v="2023-07-06T00:00:00"/>
    <d v="2023-07-09T00:00:00"/>
    <s v="Delivered"/>
    <n v="26"/>
    <n v="1500"/>
    <n v="24"/>
  </r>
  <r>
    <n v="1023"/>
    <x v="2"/>
    <x v="2"/>
    <n v="500"/>
    <d v="2023-07-07T00:00:00"/>
    <d v="2023-07-10T00:00:00"/>
    <s v="Pending"/>
    <n v="21"/>
    <n v="1500"/>
    <n v="18"/>
  </r>
  <r>
    <n v="1024"/>
    <x v="3"/>
    <x v="3"/>
    <n v="290"/>
    <d v="2023-07-08T00:00:00"/>
    <d v="2023-07-11T00:00:00"/>
    <s v="Delivered"/>
    <n v="42"/>
    <n v="1160"/>
    <n v="38"/>
  </r>
  <r>
    <n v="1025"/>
    <x v="4"/>
    <x v="0"/>
    <n v="375"/>
    <d v="2023-07-09T00:00:00"/>
    <d v="2023-07-12T00:00:00"/>
    <s v="Shipped"/>
    <n v="11"/>
    <n v="375"/>
    <n v="10"/>
  </r>
  <r>
    <n v="1026"/>
    <x v="0"/>
    <x v="1"/>
    <n v="850"/>
    <d v="2023-07-10T00:00:00"/>
    <d v="2023-07-13T00:00:00"/>
    <s v="Pending"/>
    <n v="7"/>
    <n v="1700"/>
    <n v="5"/>
  </r>
  <r>
    <n v="1027"/>
    <x v="1"/>
    <x v="2"/>
    <n v="750"/>
    <d v="2023-07-11T00:00:00"/>
    <d v="2023-07-14T00:00:00"/>
    <s v="Delivered"/>
    <n v="25"/>
    <n v="2250"/>
    <n v="22"/>
  </r>
  <r>
    <n v="1028"/>
    <x v="2"/>
    <x v="3"/>
    <n v="500"/>
    <d v="2023-07-12T00:00:00"/>
    <d v="2023-07-15T00:00:00"/>
    <s v="Shipped"/>
    <n v="20"/>
    <n v="2000"/>
    <n v="16"/>
  </r>
  <r>
    <n v="1029"/>
    <x v="3"/>
    <x v="0"/>
    <n v="290"/>
    <d v="2023-07-13T00:00:00"/>
    <d v="2023-07-16T00:00:00"/>
    <s v="Pending"/>
    <n v="40"/>
    <n v="290"/>
    <n v="39"/>
  </r>
  <r>
    <n v="1030"/>
    <x v="4"/>
    <x v="1"/>
    <n v="375"/>
    <d v="2023-07-14T00:00:00"/>
    <d v="2023-07-17T00:00:00"/>
    <s v="Delivered"/>
    <n v="10"/>
    <n v="75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C6CBA-5FF3-494C-944B-2E51463ACA0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dataField="1" showAll="0"/>
    <pivotField numFmtId="164" showAll="0"/>
    <pivotField numFmtId="14" showAll="0"/>
    <pivotField numFmtId="14" showAll="0"/>
    <pivotField showAll="0"/>
    <pivotField showAll="0"/>
    <pivotField numFmtId="164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Ordere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workbookViewId="0">
      <selection sqref="A1:J31"/>
    </sheetView>
  </sheetViews>
  <sheetFormatPr defaultColWidth="12.5703125" defaultRowHeight="15" customHeight="1" x14ac:dyDescent="0.25"/>
  <cols>
    <col min="1" max="1" width="7.42578125" style="8" customWidth="1"/>
    <col min="2" max="2" width="12.140625" style="8" bestFit="1" customWidth="1"/>
    <col min="3" max="3" width="11.7109375" style="8" customWidth="1"/>
    <col min="4" max="4" width="12.85546875" style="9" customWidth="1"/>
    <col min="5" max="5" width="9.85546875" style="8" customWidth="1"/>
    <col min="6" max="6" width="9.42578125" style="8" bestFit="1" customWidth="1"/>
    <col min="7" max="7" width="9.140625" style="8" bestFit="1" customWidth="1"/>
    <col min="8" max="8" width="8.140625" style="8" customWidth="1"/>
    <col min="9" max="9" width="10.5703125" style="8" bestFit="1" customWidth="1"/>
    <col min="10" max="10" width="16.140625" bestFit="1" customWidth="1"/>
    <col min="11" max="26" width="8.570312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16</v>
      </c>
      <c r="J1" s="3" t="s">
        <v>17</v>
      </c>
    </row>
    <row r="2" spans="1:10" ht="14.25" customHeight="1" x14ac:dyDescent="0.25">
      <c r="A2" s="1">
        <v>1001</v>
      </c>
      <c r="B2" s="4" t="s">
        <v>8</v>
      </c>
      <c r="C2" s="4">
        <v>1</v>
      </c>
      <c r="D2" s="5">
        <v>850</v>
      </c>
      <c r="E2" s="6">
        <v>45092</v>
      </c>
      <c r="F2" s="6">
        <v>45095</v>
      </c>
      <c r="G2" s="4" t="s">
        <v>9</v>
      </c>
      <c r="H2" s="4">
        <v>12</v>
      </c>
      <c r="I2" s="7">
        <f>C2*D2</f>
        <v>850</v>
      </c>
      <c r="J2" s="10">
        <f>H2-C2</f>
        <v>11</v>
      </c>
    </row>
    <row r="3" spans="1:10" ht="14.25" customHeight="1" x14ac:dyDescent="0.25">
      <c r="A3" s="1">
        <v>1002</v>
      </c>
      <c r="B3" s="4" t="s">
        <v>10</v>
      </c>
      <c r="C3" s="4">
        <v>2</v>
      </c>
      <c r="D3" s="5">
        <v>750</v>
      </c>
      <c r="E3" s="6">
        <v>45093</v>
      </c>
      <c r="F3" s="6">
        <v>45097</v>
      </c>
      <c r="G3" s="4" t="s">
        <v>11</v>
      </c>
      <c r="H3" s="4">
        <v>30</v>
      </c>
      <c r="I3" s="7">
        <f t="shared" ref="I3:I31" si="0">C3*D3</f>
        <v>1500</v>
      </c>
      <c r="J3" s="10">
        <f t="shared" ref="J3:J31" si="1">H3-C3</f>
        <v>28</v>
      </c>
    </row>
    <row r="4" spans="1:10" ht="14.25" customHeight="1" x14ac:dyDescent="0.25">
      <c r="A4" s="1">
        <v>1003</v>
      </c>
      <c r="B4" s="4" t="s">
        <v>12</v>
      </c>
      <c r="C4" s="4">
        <v>3</v>
      </c>
      <c r="D4" s="5">
        <v>500</v>
      </c>
      <c r="E4" s="6">
        <v>45094</v>
      </c>
      <c r="F4" s="6">
        <v>45096</v>
      </c>
      <c r="G4" s="4" t="s">
        <v>9</v>
      </c>
      <c r="H4" s="4">
        <v>25</v>
      </c>
      <c r="I4" s="7">
        <f t="shared" si="0"/>
        <v>1500</v>
      </c>
      <c r="J4" s="10">
        <f t="shared" si="1"/>
        <v>22</v>
      </c>
    </row>
    <row r="5" spans="1:10" ht="14.25" customHeight="1" x14ac:dyDescent="0.25">
      <c r="A5" s="1">
        <v>1004</v>
      </c>
      <c r="B5" s="4" t="s">
        <v>13</v>
      </c>
      <c r="C5" s="4">
        <v>4</v>
      </c>
      <c r="D5" s="5">
        <v>290</v>
      </c>
      <c r="E5" s="6">
        <v>45095</v>
      </c>
      <c r="F5" s="6">
        <v>45099</v>
      </c>
      <c r="G5" s="4" t="s">
        <v>14</v>
      </c>
      <c r="H5" s="4">
        <v>50</v>
      </c>
      <c r="I5" s="7">
        <f t="shared" si="0"/>
        <v>1160</v>
      </c>
      <c r="J5" s="10">
        <f t="shared" si="1"/>
        <v>46</v>
      </c>
    </row>
    <row r="6" spans="1:10" ht="14.25" customHeight="1" x14ac:dyDescent="0.25">
      <c r="A6" s="1">
        <v>1005</v>
      </c>
      <c r="B6" s="4" t="s">
        <v>15</v>
      </c>
      <c r="C6" s="4">
        <v>1</v>
      </c>
      <c r="D6" s="5">
        <v>375</v>
      </c>
      <c r="E6" s="6">
        <v>45096</v>
      </c>
      <c r="F6" s="6">
        <v>45098</v>
      </c>
      <c r="G6" s="4" t="s">
        <v>9</v>
      </c>
      <c r="H6" s="4">
        <v>18</v>
      </c>
      <c r="I6" s="7">
        <f t="shared" si="0"/>
        <v>375</v>
      </c>
      <c r="J6" s="10">
        <f t="shared" si="1"/>
        <v>17</v>
      </c>
    </row>
    <row r="7" spans="1:10" ht="14.25" customHeight="1" x14ac:dyDescent="0.25">
      <c r="A7" s="1">
        <v>1006</v>
      </c>
      <c r="B7" s="4" t="s">
        <v>8</v>
      </c>
      <c r="C7" s="4">
        <v>1</v>
      </c>
      <c r="D7" s="5">
        <v>850</v>
      </c>
      <c r="E7" s="6">
        <v>45097</v>
      </c>
      <c r="F7" s="6">
        <v>45100</v>
      </c>
      <c r="G7" s="4" t="s">
        <v>11</v>
      </c>
      <c r="H7" s="4">
        <v>11</v>
      </c>
      <c r="I7" s="7">
        <f t="shared" si="0"/>
        <v>850</v>
      </c>
      <c r="J7" s="10">
        <f t="shared" si="1"/>
        <v>10</v>
      </c>
    </row>
    <row r="8" spans="1:10" ht="14.25" customHeight="1" x14ac:dyDescent="0.25">
      <c r="A8" s="1">
        <v>1007</v>
      </c>
      <c r="B8" s="4" t="s">
        <v>10</v>
      </c>
      <c r="C8" s="4">
        <v>3</v>
      </c>
      <c r="D8" s="5">
        <v>750</v>
      </c>
      <c r="E8" s="6">
        <v>45098</v>
      </c>
      <c r="F8" s="6">
        <v>45101</v>
      </c>
      <c r="G8" s="4" t="s">
        <v>14</v>
      </c>
      <c r="H8" s="4">
        <v>28</v>
      </c>
      <c r="I8" s="7">
        <f t="shared" si="0"/>
        <v>2250</v>
      </c>
      <c r="J8" s="10">
        <f t="shared" si="1"/>
        <v>25</v>
      </c>
    </row>
    <row r="9" spans="1:10" ht="14.25" customHeight="1" x14ac:dyDescent="0.25">
      <c r="A9" s="1">
        <v>1008</v>
      </c>
      <c r="B9" s="4" t="s">
        <v>12</v>
      </c>
      <c r="C9" s="4">
        <v>2</v>
      </c>
      <c r="D9" s="5">
        <v>500</v>
      </c>
      <c r="E9" s="6">
        <v>45099</v>
      </c>
      <c r="F9" s="6">
        <v>45102</v>
      </c>
      <c r="G9" s="4" t="s">
        <v>9</v>
      </c>
      <c r="H9" s="4">
        <v>24</v>
      </c>
      <c r="I9" s="7">
        <f t="shared" si="0"/>
        <v>1000</v>
      </c>
      <c r="J9" s="10">
        <f t="shared" si="1"/>
        <v>22</v>
      </c>
    </row>
    <row r="10" spans="1:10" ht="14.25" customHeight="1" x14ac:dyDescent="0.25">
      <c r="A10" s="1">
        <v>1009</v>
      </c>
      <c r="B10" s="4" t="s">
        <v>13</v>
      </c>
      <c r="C10" s="4">
        <v>1</v>
      </c>
      <c r="D10" s="5">
        <v>290</v>
      </c>
      <c r="E10" s="6">
        <v>45100</v>
      </c>
      <c r="F10" s="6">
        <v>45103</v>
      </c>
      <c r="G10" s="4" t="s">
        <v>11</v>
      </c>
      <c r="H10" s="4">
        <v>48</v>
      </c>
      <c r="I10" s="7">
        <f t="shared" si="0"/>
        <v>290</v>
      </c>
      <c r="J10" s="10">
        <f t="shared" si="1"/>
        <v>47</v>
      </c>
    </row>
    <row r="11" spans="1:10" ht="14.25" customHeight="1" x14ac:dyDescent="0.25">
      <c r="A11" s="1">
        <v>1010</v>
      </c>
      <c r="B11" s="4" t="s">
        <v>15</v>
      </c>
      <c r="C11" s="4">
        <v>4</v>
      </c>
      <c r="D11" s="5">
        <v>375</v>
      </c>
      <c r="E11" s="6">
        <v>45101</v>
      </c>
      <c r="F11" s="6">
        <v>45104</v>
      </c>
      <c r="G11" s="4" t="s">
        <v>14</v>
      </c>
      <c r="H11" s="4">
        <v>16</v>
      </c>
      <c r="I11" s="7">
        <f t="shared" si="0"/>
        <v>1500</v>
      </c>
      <c r="J11" s="10">
        <f t="shared" si="1"/>
        <v>12</v>
      </c>
    </row>
    <row r="12" spans="1:10" ht="14.25" customHeight="1" x14ac:dyDescent="0.25">
      <c r="A12" s="1">
        <v>1011</v>
      </c>
      <c r="B12" s="4" t="s">
        <v>8</v>
      </c>
      <c r="C12" s="4">
        <v>2</v>
      </c>
      <c r="D12" s="5">
        <v>850</v>
      </c>
      <c r="E12" s="6">
        <v>45102</v>
      </c>
      <c r="F12" s="6">
        <v>45105</v>
      </c>
      <c r="G12" s="4" t="s">
        <v>9</v>
      </c>
      <c r="H12" s="4">
        <v>10</v>
      </c>
      <c r="I12" s="7">
        <f t="shared" si="0"/>
        <v>1700</v>
      </c>
      <c r="J12" s="10">
        <f t="shared" si="1"/>
        <v>8</v>
      </c>
    </row>
    <row r="13" spans="1:10" ht="14.25" customHeight="1" x14ac:dyDescent="0.25">
      <c r="A13" s="1">
        <v>1012</v>
      </c>
      <c r="B13" s="4" t="s">
        <v>10</v>
      </c>
      <c r="C13" s="4">
        <v>1</v>
      </c>
      <c r="D13" s="5">
        <v>750</v>
      </c>
      <c r="E13" s="6">
        <v>45103</v>
      </c>
      <c r="F13" s="6">
        <v>45106</v>
      </c>
      <c r="G13" s="4" t="s">
        <v>11</v>
      </c>
      <c r="H13" s="4">
        <v>29</v>
      </c>
      <c r="I13" s="7">
        <f t="shared" si="0"/>
        <v>750</v>
      </c>
      <c r="J13" s="10">
        <f t="shared" si="1"/>
        <v>28</v>
      </c>
    </row>
    <row r="14" spans="1:10" ht="14.25" customHeight="1" x14ac:dyDescent="0.25">
      <c r="A14" s="1">
        <v>1013</v>
      </c>
      <c r="B14" s="4" t="s">
        <v>12</v>
      </c>
      <c r="C14" s="4">
        <v>3</v>
      </c>
      <c r="D14" s="5">
        <v>500</v>
      </c>
      <c r="E14" s="6">
        <v>45104</v>
      </c>
      <c r="F14" s="6">
        <v>45107</v>
      </c>
      <c r="G14" s="4" t="s">
        <v>14</v>
      </c>
      <c r="H14" s="4">
        <v>23</v>
      </c>
      <c r="I14" s="7">
        <f t="shared" si="0"/>
        <v>1500</v>
      </c>
      <c r="J14" s="10">
        <f t="shared" si="1"/>
        <v>20</v>
      </c>
    </row>
    <row r="15" spans="1:10" ht="14.25" customHeight="1" x14ac:dyDescent="0.25">
      <c r="A15" s="1">
        <v>1014</v>
      </c>
      <c r="B15" s="4" t="s">
        <v>13</v>
      </c>
      <c r="C15" s="4">
        <v>2</v>
      </c>
      <c r="D15" s="5">
        <v>290</v>
      </c>
      <c r="E15" s="6">
        <v>45105</v>
      </c>
      <c r="F15" s="6">
        <v>45108</v>
      </c>
      <c r="G15" s="4" t="s">
        <v>9</v>
      </c>
      <c r="H15" s="4">
        <v>46</v>
      </c>
      <c r="I15" s="7">
        <f t="shared" si="0"/>
        <v>580</v>
      </c>
      <c r="J15" s="10">
        <f t="shared" si="1"/>
        <v>44</v>
      </c>
    </row>
    <row r="16" spans="1:10" ht="14.25" customHeight="1" x14ac:dyDescent="0.25">
      <c r="A16" s="1">
        <v>1015</v>
      </c>
      <c r="B16" s="4" t="s">
        <v>15</v>
      </c>
      <c r="C16" s="4">
        <v>3</v>
      </c>
      <c r="D16" s="5">
        <v>375</v>
      </c>
      <c r="E16" s="6">
        <v>45106</v>
      </c>
      <c r="F16" s="6">
        <v>45109</v>
      </c>
      <c r="G16" s="4" t="s">
        <v>11</v>
      </c>
      <c r="H16" s="4">
        <v>14</v>
      </c>
      <c r="I16" s="7">
        <f t="shared" si="0"/>
        <v>1125</v>
      </c>
      <c r="J16" s="10">
        <f t="shared" si="1"/>
        <v>11</v>
      </c>
    </row>
    <row r="17" spans="1:10" ht="14.25" customHeight="1" x14ac:dyDescent="0.25">
      <c r="A17" s="1">
        <v>1016</v>
      </c>
      <c r="B17" s="4" t="s">
        <v>8</v>
      </c>
      <c r="C17" s="4">
        <v>4</v>
      </c>
      <c r="D17" s="5">
        <v>850</v>
      </c>
      <c r="E17" s="6">
        <v>45107</v>
      </c>
      <c r="F17" s="6">
        <v>45110</v>
      </c>
      <c r="G17" s="4" t="s">
        <v>14</v>
      </c>
      <c r="H17" s="4">
        <v>9</v>
      </c>
      <c r="I17" s="7">
        <f t="shared" si="0"/>
        <v>3400</v>
      </c>
      <c r="J17" s="10">
        <f t="shared" si="1"/>
        <v>5</v>
      </c>
    </row>
    <row r="18" spans="1:10" ht="14.25" customHeight="1" x14ac:dyDescent="0.25">
      <c r="A18" s="1">
        <v>1017</v>
      </c>
      <c r="B18" s="4" t="s">
        <v>10</v>
      </c>
      <c r="C18" s="4">
        <v>1</v>
      </c>
      <c r="D18" s="5">
        <v>750</v>
      </c>
      <c r="E18" s="6">
        <v>45108</v>
      </c>
      <c r="F18" s="6">
        <v>45111</v>
      </c>
      <c r="G18" s="4" t="s">
        <v>9</v>
      </c>
      <c r="H18" s="4">
        <v>27</v>
      </c>
      <c r="I18" s="7">
        <f t="shared" si="0"/>
        <v>750</v>
      </c>
      <c r="J18" s="10">
        <f t="shared" si="1"/>
        <v>26</v>
      </c>
    </row>
    <row r="19" spans="1:10" ht="14.25" customHeight="1" x14ac:dyDescent="0.25">
      <c r="A19" s="1">
        <v>1018</v>
      </c>
      <c r="B19" s="4" t="s">
        <v>12</v>
      </c>
      <c r="C19" s="4">
        <v>3</v>
      </c>
      <c r="D19" s="5">
        <v>500</v>
      </c>
      <c r="E19" s="6">
        <v>45109</v>
      </c>
      <c r="F19" s="6">
        <v>45112</v>
      </c>
      <c r="G19" s="4" t="s">
        <v>11</v>
      </c>
      <c r="H19" s="4">
        <v>22</v>
      </c>
      <c r="I19" s="7">
        <f t="shared" si="0"/>
        <v>1500</v>
      </c>
      <c r="J19" s="10">
        <f t="shared" si="1"/>
        <v>19</v>
      </c>
    </row>
    <row r="20" spans="1:10" ht="14.25" customHeight="1" x14ac:dyDescent="0.25">
      <c r="A20" s="1">
        <v>1019</v>
      </c>
      <c r="B20" s="4" t="s">
        <v>13</v>
      </c>
      <c r="C20" s="4">
        <v>4</v>
      </c>
      <c r="D20" s="5">
        <v>290</v>
      </c>
      <c r="E20" s="6">
        <v>45110</v>
      </c>
      <c r="F20" s="6">
        <v>45113</v>
      </c>
      <c r="G20" s="4" t="s">
        <v>14</v>
      </c>
      <c r="H20" s="4">
        <v>44</v>
      </c>
      <c r="I20" s="7">
        <f t="shared" si="0"/>
        <v>1160</v>
      </c>
      <c r="J20" s="10">
        <f t="shared" si="1"/>
        <v>40</v>
      </c>
    </row>
    <row r="21" spans="1:10" ht="14.25" customHeight="1" x14ac:dyDescent="0.25">
      <c r="A21" s="1">
        <v>1020</v>
      </c>
      <c r="B21" s="4" t="s">
        <v>15</v>
      </c>
      <c r="C21" s="4">
        <v>2</v>
      </c>
      <c r="D21" s="5">
        <v>375</v>
      </c>
      <c r="E21" s="6">
        <v>45111</v>
      </c>
      <c r="F21" s="6">
        <v>45114</v>
      </c>
      <c r="G21" s="4" t="s">
        <v>9</v>
      </c>
      <c r="H21" s="4">
        <v>12</v>
      </c>
      <c r="I21" s="7">
        <f t="shared" si="0"/>
        <v>750</v>
      </c>
      <c r="J21" s="10">
        <f t="shared" si="1"/>
        <v>10</v>
      </c>
    </row>
    <row r="22" spans="1:10" ht="14.25" customHeight="1" x14ac:dyDescent="0.25">
      <c r="A22" s="1">
        <v>1021</v>
      </c>
      <c r="B22" s="4" t="s">
        <v>8</v>
      </c>
      <c r="C22" s="4">
        <v>1</v>
      </c>
      <c r="D22" s="5">
        <v>850</v>
      </c>
      <c r="E22" s="6">
        <v>45112</v>
      </c>
      <c r="F22" s="6">
        <v>45115</v>
      </c>
      <c r="G22" s="4" t="s">
        <v>11</v>
      </c>
      <c r="H22" s="4">
        <v>8</v>
      </c>
      <c r="I22" s="7">
        <f t="shared" si="0"/>
        <v>850</v>
      </c>
      <c r="J22" s="10">
        <f t="shared" si="1"/>
        <v>7</v>
      </c>
    </row>
    <row r="23" spans="1:10" ht="14.25" customHeight="1" x14ac:dyDescent="0.25">
      <c r="A23" s="1">
        <v>1022</v>
      </c>
      <c r="B23" s="4" t="s">
        <v>10</v>
      </c>
      <c r="C23" s="4">
        <v>2</v>
      </c>
      <c r="D23" s="5">
        <v>750</v>
      </c>
      <c r="E23" s="6">
        <v>45113</v>
      </c>
      <c r="F23" s="6">
        <v>45116</v>
      </c>
      <c r="G23" s="4" t="s">
        <v>9</v>
      </c>
      <c r="H23" s="4">
        <v>26</v>
      </c>
      <c r="I23" s="7">
        <f t="shared" si="0"/>
        <v>1500</v>
      </c>
      <c r="J23" s="10">
        <f t="shared" si="1"/>
        <v>24</v>
      </c>
    </row>
    <row r="24" spans="1:10" ht="14.25" customHeight="1" x14ac:dyDescent="0.25">
      <c r="A24" s="1">
        <v>1023</v>
      </c>
      <c r="B24" s="4" t="s">
        <v>12</v>
      </c>
      <c r="C24" s="4">
        <v>3</v>
      </c>
      <c r="D24" s="5">
        <v>500</v>
      </c>
      <c r="E24" s="6">
        <v>45114</v>
      </c>
      <c r="F24" s="6">
        <v>45117</v>
      </c>
      <c r="G24" s="4" t="s">
        <v>14</v>
      </c>
      <c r="H24" s="4">
        <v>21</v>
      </c>
      <c r="I24" s="7">
        <f t="shared" si="0"/>
        <v>1500</v>
      </c>
      <c r="J24" s="10">
        <f t="shared" si="1"/>
        <v>18</v>
      </c>
    </row>
    <row r="25" spans="1:10" ht="14.25" customHeight="1" x14ac:dyDescent="0.25">
      <c r="A25" s="1">
        <v>1024</v>
      </c>
      <c r="B25" s="4" t="s">
        <v>13</v>
      </c>
      <c r="C25" s="4">
        <v>4</v>
      </c>
      <c r="D25" s="5">
        <v>290</v>
      </c>
      <c r="E25" s="6">
        <v>45115</v>
      </c>
      <c r="F25" s="6">
        <v>45118</v>
      </c>
      <c r="G25" s="4" t="s">
        <v>9</v>
      </c>
      <c r="H25" s="4">
        <v>42</v>
      </c>
      <c r="I25" s="7">
        <f t="shared" si="0"/>
        <v>1160</v>
      </c>
      <c r="J25" s="10">
        <f t="shared" si="1"/>
        <v>38</v>
      </c>
    </row>
    <row r="26" spans="1:10" ht="14.25" customHeight="1" x14ac:dyDescent="0.25">
      <c r="A26" s="1">
        <v>1025</v>
      </c>
      <c r="B26" s="4" t="s">
        <v>15</v>
      </c>
      <c r="C26" s="4">
        <v>1</v>
      </c>
      <c r="D26" s="5">
        <v>375</v>
      </c>
      <c r="E26" s="6">
        <v>45116</v>
      </c>
      <c r="F26" s="6">
        <v>45119</v>
      </c>
      <c r="G26" s="4" t="s">
        <v>11</v>
      </c>
      <c r="H26" s="4">
        <v>11</v>
      </c>
      <c r="I26" s="7">
        <f t="shared" si="0"/>
        <v>375</v>
      </c>
      <c r="J26" s="10">
        <f t="shared" si="1"/>
        <v>10</v>
      </c>
    </row>
    <row r="27" spans="1:10" ht="14.25" customHeight="1" x14ac:dyDescent="0.25">
      <c r="A27" s="1">
        <v>1026</v>
      </c>
      <c r="B27" s="4" t="s">
        <v>8</v>
      </c>
      <c r="C27" s="4">
        <v>2</v>
      </c>
      <c r="D27" s="5">
        <v>850</v>
      </c>
      <c r="E27" s="6">
        <v>45117</v>
      </c>
      <c r="F27" s="6">
        <v>45120</v>
      </c>
      <c r="G27" s="4" t="s">
        <v>14</v>
      </c>
      <c r="H27" s="4">
        <v>7</v>
      </c>
      <c r="I27" s="7">
        <f t="shared" si="0"/>
        <v>1700</v>
      </c>
      <c r="J27" s="10">
        <f t="shared" si="1"/>
        <v>5</v>
      </c>
    </row>
    <row r="28" spans="1:10" ht="14.25" customHeight="1" x14ac:dyDescent="0.25">
      <c r="A28" s="1">
        <v>1027</v>
      </c>
      <c r="B28" s="4" t="s">
        <v>10</v>
      </c>
      <c r="C28" s="4">
        <v>3</v>
      </c>
      <c r="D28" s="5">
        <v>750</v>
      </c>
      <c r="E28" s="6">
        <v>45118</v>
      </c>
      <c r="F28" s="6">
        <v>45121</v>
      </c>
      <c r="G28" s="4" t="s">
        <v>9</v>
      </c>
      <c r="H28" s="4">
        <v>25</v>
      </c>
      <c r="I28" s="7">
        <f t="shared" si="0"/>
        <v>2250</v>
      </c>
      <c r="J28" s="10">
        <f t="shared" si="1"/>
        <v>22</v>
      </c>
    </row>
    <row r="29" spans="1:10" ht="14.25" customHeight="1" x14ac:dyDescent="0.25">
      <c r="A29" s="1">
        <v>1028</v>
      </c>
      <c r="B29" s="4" t="s">
        <v>12</v>
      </c>
      <c r="C29" s="4">
        <v>4</v>
      </c>
      <c r="D29" s="5">
        <v>500</v>
      </c>
      <c r="E29" s="6">
        <v>45119</v>
      </c>
      <c r="F29" s="6">
        <v>45122</v>
      </c>
      <c r="G29" s="4" t="s">
        <v>11</v>
      </c>
      <c r="H29" s="4">
        <v>20</v>
      </c>
      <c r="I29" s="7">
        <f t="shared" si="0"/>
        <v>2000</v>
      </c>
      <c r="J29" s="10">
        <f t="shared" si="1"/>
        <v>16</v>
      </c>
    </row>
    <row r="30" spans="1:10" ht="14.25" customHeight="1" x14ac:dyDescent="0.25">
      <c r="A30" s="1">
        <v>1029</v>
      </c>
      <c r="B30" s="4" t="s">
        <v>13</v>
      </c>
      <c r="C30" s="4">
        <v>1</v>
      </c>
      <c r="D30" s="5">
        <v>290</v>
      </c>
      <c r="E30" s="6">
        <v>45120</v>
      </c>
      <c r="F30" s="6">
        <v>45123</v>
      </c>
      <c r="G30" s="4" t="s">
        <v>14</v>
      </c>
      <c r="H30" s="4">
        <v>40</v>
      </c>
      <c r="I30" s="7">
        <f t="shared" si="0"/>
        <v>290</v>
      </c>
      <c r="J30" s="10">
        <f t="shared" si="1"/>
        <v>39</v>
      </c>
    </row>
    <row r="31" spans="1:10" ht="14.25" customHeight="1" x14ac:dyDescent="0.25">
      <c r="A31" s="1">
        <v>1030</v>
      </c>
      <c r="B31" s="4" t="s">
        <v>15</v>
      </c>
      <c r="C31" s="4">
        <v>2</v>
      </c>
      <c r="D31" s="5">
        <v>375</v>
      </c>
      <c r="E31" s="6">
        <v>45121</v>
      </c>
      <c r="F31" s="6">
        <v>45124</v>
      </c>
      <c r="G31" s="4" t="s">
        <v>9</v>
      </c>
      <c r="H31" s="4">
        <v>10</v>
      </c>
      <c r="I31" s="7">
        <f t="shared" si="0"/>
        <v>750</v>
      </c>
      <c r="J31" s="10">
        <f t="shared" si="1"/>
        <v>8</v>
      </c>
    </row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conditionalFormatting sqref="A2:H31">
    <cfRule type="expression" dxfId="7" priority="6">
      <formula>COUNTIF($A$2:$A$31,$A2)&gt;1</formula>
    </cfRule>
  </conditionalFormatting>
  <conditionalFormatting sqref="G2:G31">
    <cfRule type="expression" dxfId="6" priority="2">
      <formula>$G2="Pending"</formula>
    </cfRule>
  </conditionalFormatting>
  <conditionalFormatting sqref="H2:H31">
    <cfRule type="cellIs" dxfId="5" priority="7" operator="lessThanOrEqual">
      <formula>10</formula>
    </cfRule>
  </conditionalFormatting>
  <conditionalFormatting sqref="I2:I31">
    <cfRule type="cellIs" dxfId="4" priority="1" operator="greaterThanOrEqual">
      <formula>1500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BCB-E9CA-4906-9F37-51BDC5FBC1D1}">
  <dimension ref="A3:B9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3.7109375" bestFit="1" customWidth="1"/>
  </cols>
  <sheetData>
    <row r="3" spans="1:2" x14ac:dyDescent="0.25">
      <c r="A3" s="11" t="s">
        <v>18</v>
      </c>
      <c r="B3" t="s">
        <v>20</v>
      </c>
    </row>
    <row r="4" spans="1:2" x14ac:dyDescent="0.25">
      <c r="A4" s="12" t="s">
        <v>15</v>
      </c>
      <c r="B4" s="13">
        <v>13</v>
      </c>
    </row>
    <row r="5" spans="1:2" x14ac:dyDescent="0.25">
      <c r="A5" s="12" t="s">
        <v>13</v>
      </c>
      <c r="B5" s="13">
        <v>16</v>
      </c>
    </row>
    <row r="6" spans="1:2" x14ac:dyDescent="0.25">
      <c r="A6" s="12" t="s">
        <v>8</v>
      </c>
      <c r="B6" s="13">
        <v>11</v>
      </c>
    </row>
    <row r="7" spans="1:2" x14ac:dyDescent="0.25">
      <c r="A7" s="12" t="s">
        <v>10</v>
      </c>
      <c r="B7" s="13">
        <v>12</v>
      </c>
    </row>
    <row r="8" spans="1:2" x14ac:dyDescent="0.25">
      <c r="A8" s="12" t="s">
        <v>12</v>
      </c>
      <c r="B8" s="13">
        <v>18</v>
      </c>
    </row>
    <row r="9" spans="1:2" x14ac:dyDescent="0.25">
      <c r="A9" s="12" t="s">
        <v>19</v>
      </c>
      <c r="B9" s="1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Niq Hartley</dc:creator>
  <cp:lastModifiedBy>gerard reaver</cp:lastModifiedBy>
  <dcterms:created xsi:type="dcterms:W3CDTF">2024-09-16T07:10:03Z</dcterms:created>
  <dcterms:modified xsi:type="dcterms:W3CDTF">2026-08-25T22:42:38Z</dcterms:modified>
</cp:coreProperties>
</file>